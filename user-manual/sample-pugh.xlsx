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0" yWindow="660" windowWidth="29040" windowHeight="18980" tabRatio="600" firstSheet="0" activeTab="0" autoFilterDateGrouping="1"/>
  </bookViews>
  <sheets>
    <sheet name="Score" sheetId="1" state="visible" r:id="rId1"/>
    <sheet name="Lookups" sheetId="2" state="visible" r:id="rId2"/>
  </sheets>
  <definedNames>
    <definedName name="SymbolList">Lookups!$A$2:$A$4</definedName>
    <definedName name="SymbolTable">Lookups!$A$2:$B$4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6"/>
    </font>
    <font>
      <name val="Calibri"/>
      <family val="2"/>
      <i val="1"/>
      <sz val="11"/>
    </font>
    <font>
      <name val="Calibri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E699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B8" sqref="B8"/>
    </sheetView>
  </sheetViews>
  <sheetFormatPr baseColWidth="10" defaultColWidth="8.83203125" defaultRowHeight="15"/>
  <cols>
    <col width="14" customWidth="1" style="9" min="1" max="1"/>
    <col width="30" customWidth="1" style="9" min="2" max="2"/>
    <col width="10" customWidth="1" style="9" min="3" max="4"/>
    <col width="12" customWidth="1" style="9" min="5" max="5"/>
    <col width="10" customWidth="1" style="9" min="6" max="6"/>
    <col width="12" customWidth="1" style="9" min="7" max="7"/>
    <col width="10" customWidth="1" style="9" min="8" max="8"/>
    <col width="12" customWidth="1" style="9" min="9" max="9"/>
  </cols>
  <sheetData>
    <row r="1">
      <c r="A1" s="10" t="inlineStr">
        <is>
          <t>Title</t>
        </is>
      </c>
      <c r="B1" s="10" t="inlineStr">
        <is>
          <t>Description</t>
        </is>
      </c>
      <c r="C1" s="10" t="inlineStr">
        <is>
          <t>Importance</t>
        </is>
      </c>
      <c r="D1" s="10" t="inlineStr">
        <is>
          <t>Comparison 1</t>
        </is>
      </c>
      <c r="E1" s="12" t="n"/>
      <c r="F1" s="10" t="inlineStr">
        <is>
          <t>Comparison 2</t>
        </is>
      </c>
      <c r="G1" s="12" t="n"/>
      <c r="H1" s="10" t="inlineStr">
        <is>
          <t>Comparison 3</t>
        </is>
      </c>
      <c r="I1" s="12" t="n"/>
    </row>
    <row r="2">
      <c r="A2" s="13" t="n"/>
      <c r="B2" s="13" t="n"/>
      <c r="C2" s="13" t="n"/>
      <c r="D2" s="8" t="inlineStr">
        <is>
          <t>Some Description 1</t>
        </is>
      </c>
      <c r="E2" s="12" t="n"/>
      <c r="F2" s="8" t="inlineStr">
        <is>
          <t>Some Description 2</t>
        </is>
      </c>
      <c r="G2" s="12" t="n"/>
      <c r="H2" s="8" t="inlineStr">
        <is>
          <t>Some Description 3</t>
        </is>
      </c>
      <c r="I2" s="12" t="n"/>
    </row>
    <row r="3" ht="21" customHeight="1" s="9">
      <c r="A3" s="2" t="inlineStr">
        <is>
          <t>Foo 1</t>
        </is>
      </c>
      <c r="B3" s="3" t="inlineStr">
        <is>
          <t>Some Description 1</t>
        </is>
      </c>
      <c r="C3" s="4" t="inlineStr">
        <is>
          <t>▽</t>
        </is>
      </c>
      <c r="D3" s="4" t="inlineStr">
        <is>
          <t>▽</t>
        </is>
      </c>
      <c r="E3" s="5">
        <f>IFERROR(VLOOKUP($C3,SymbolTable,2,FALSE)*VLOOKUP(D3,SymbolTable,2,FALSE),"")</f>
        <v/>
      </c>
      <c r="F3" s="4" t="inlineStr">
        <is>
          <t>○</t>
        </is>
      </c>
      <c r="G3" s="5">
        <f>IFERROR(VLOOKUP($C3,SymbolTable,2,FALSE)*VLOOKUP(F3,SymbolTable,2,FALSE),"")</f>
        <v/>
      </c>
      <c r="H3" s="4" t="inlineStr">
        <is>
          <t>○</t>
        </is>
      </c>
      <c r="I3" s="5">
        <f>IFERROR(VLOOKUP($C3,SymbolTable,2,FALSE)*VLOOKUP(H3,SymbolTable,2,FALSE),"")</f>
        <v/>
      </c>
    </row>
    <row r="4" ht="21" customHeight="1" s="9">
      <c r="A4" s="2" t="inlineStr">
        <is>
          <t>Foo 2</t>
        </is>
      </c>
      <c r="B4" s="3" t="inlineStr">
        <is>
          <t>Some Description 2</t>
        </is>
      </c>
      <c r="C4" s="4" t="inlineStr">
        <is>
          <t>○</t>
        </is>
      </c>
      <c r="D4" s="4" t="inlineStr">
        <is>
          <t>○</t>
        </is>
      </c>
      <c r="E4" s="5">
        <f>IFERROR(VLOOKUP($C4,SymbolTable,2,FALSE)*VLOOKUP(D4,SymbolTable,2,FALSE),"")</f>
        <v/>
      </c>
      <c r="F4" s="4" t="inlineStr">
        <is>
          <t>◎</t>
        </is>
      </c>
      <c r="G4" s="5">
        <f>IFERROR(VLOOKUP($C4,SymbolTable,2,FALSE)*VLOOKUP(F4,SymbolTable,2,FALSE),"")</f>
        <v/>
      </c>
      <c r="H4" s="4" t="inlineStr">
        <is>
          <t>◎</t>
        </is>
      </c>
      <c r="I4" s="5">
        <f>IFERROR(VLOOKUP($C4,SymbolTable,2,FALSE)*VLOOKUP(H4,SymbolTable,2,FALSE),"")</f>
        <v/>
      </c>
    </row>
    <row r="5" ht="21" customHeight="1" s="9">
      <c r="A5" s="2" t="inlineStr">
        <is>
          <t>Foo 3</t>
        </is>
      </c>
      <c r="B5" s="3" t="inlineStr">
        <is>
          <t>Some Description 3</t>
        </is>
      </c>
      <c r="C5" s="4" t="inlineStr">
        <is>
          <t>▽</t>
        </is>
      </c>
      <c r="D5" s="4" t="inlineStr">
        <is>
          <t>○</t>
        </is>
      </c>
      <c r="E5" s="5">
        <f>IFERROR(VLOOKUP($C5,SymbolTable,2,FALSE)*VLOOKUP(D5,SymbolTable,2,FALSE),"")</f>
        <v/>
      </c>
      <c r="F5" s="4" t="inlineStr">
        <is>
          <t>○</t>
        </is>
      </c>
      <c r="G5" s="5">
        <f>IFERROR(VLOOKUP($C5,SymbolTable,2,FALSE)*VLOOKUP(F5,SymbolTable,2,FALSE),"")</f>
        <v/>
      </c>
      <c r="H5" s="4" t="inlineStr">
        <is>
          <t>○</t>
        </is>
      </c>
      <c r="I5" s="5">
        <f>IFERROR(VLOOKUP($C5,SymbolTable,2,FALSE)*VLOOKUP(H5,SymbolTable,2,FALSE),"")</f>
        <v/>
      </c>
    </row>
    <row r="6" ht="21" customHeight="1" s="9">
      <c r="A6" s="2" t="inlineStr">
        <is>
          <t>Foo 4</t>
        </is>
      </c>
      <c r="B6" s="3" t="inlineStr">
        <is>
          <t>Some Description 4</t>
        </is>
      </c>
      <c r="C6" s="4" t="inlineStr">
        <is>
          <t>○</t>
        </is>
      </c>
      <c r="D6" s="4" t="inlineStr">
        <is>
          <t>○</t>
        </is>
      </c>
      <c r="E6" s="5">
        <f>IFERROR(VLOOKUP($C6,SymbolTable,2,FALSE)*VLOOKUP(D6,SymbolTable,2,FALSE),"")</f>
        <v/>
      </c>
      <c r="F6" s="4" t="inlineStr">
        <is>
          <t>◎</t>
        </is>
      </c>
      <c r="G6" s="5">
        <f>IFERROR(VLOOKUP($C6,SymbolTable,2,FALSE)*VLOOKUP(F6,SymbolTable,2,FALSE),"")</f>
        <v/>
      </c>
      <c r="H6" s="4" t="inlineStr">
        <is>
          <t>◎</t>
        </is>
      </c>
      <c r="I6" s="5">
        <f>IFERROR(VLOOKUP($C6,SymbolTable,2,FALSE)*VLOOKUP(H6,SymbolTable,2,FALSE),"")</f>
        <v/>
      </c>
    </row>
    <row r="7" ht="21" customHeight="1" s="9">
      <c r="A7" s="2" t="inlineStr">
        <is>
          <t>Foo 5</t>
        </is>
      </c>
      <c r="B7" s="3" t="inlineStr">
        <is>
          <t>Some Description 5</t>
        </is>
      </c>
      <c r="C7" s="4" t="inlineStr">
        <is>
          <t>◎</t>
        </is>
      </c>
      <c r="D7" s="4" t="inlineStr">
        <is>
          <t>○</t>
        </is>
      </c>
      <c r="E7" s="5">
        <f>IFERROR(VLOOKUP($C7,SymbolTable,2,FALSE)*VLOOKUP(D7,SymbolTable,2,FALSE),"")</f>
        <v/>
      </c>
      <c r="F7" s="4" t="inlineStr">
        <is>
          <t>◎</t>
        </is>
      </c>
      <c r="G7" s="5">
        <f>IFERROR(VLOOKUP($C7,SymbolTable,2,FALSE)*VLOOKUP(F7,SymbolTable,2,FALSE),"")</f>
        <v/>
      </c>
      <c r="H7" s="4" t="inlineStr">
        <is>
          <t>◎</t>
        </is>
      </c>
      <c r="I7" s="5">
        <f>IFERROR(VLOOKUP($C7,SymbolTable,2,FALSE)*VLOOKUP(H7,SymbolTable,2,FALSE),"")</f>
        <v/>
      </c>
    </row>
    <row r="8">
      <c r="D8" s="6" t="inlineStr">
        <is>
          <t>Total</t>
        </is>
      </c>
      <c r="E8" s="6">
        <f>SUM(E3:E7)</f>
        <v/>
      </c>
      <c r="F8" s="6" t="inlineStr">
        <is>
          <t>Total</t>
        </is>
      </c>
      <c r="G8" s="6">
        <f>SUM(G3:G7)</f>
        <v/>
      </c>
      <c r="H8" s="6" t="inlineStr">
        <is>
          <t>Total</t>
        </is>
      </c>
      <c r="I8" s="6">
        <f>SUM(I3:I7)</f>
        <v/>
      </c>
    </row>
    <row r="10">
      <c r="C10" s="11" t="inlineStr">
        <is>
          <t>Distribution Check</t>
        </is>
      </c>
    </row>
    <row r="11" ht="21" customHeight="1" s="9">
      <c r="B11" s="4" t="inlineStr">
        <is>
          <t>▽</t>
        </is>
      </c>
      <c r="C11" s="7">
        <f>COUNTIF(C$3:C$7,$B11)</f>
        <v/>
      </c>
      <c r="D11" s="7">
        <f>COUNTIF(D$3:D$7,$B11)</f>
        <v/>
      </c>
      <c r="F11" s="7">
        <f>COUNTIF(F$3:F$7,$B11)</f>
        <v/>
      </c>
      <c r="H11" s="7">
        <f>COUNTIF(H$3:H$7,$B11)</f>
        <v/>
      </c>
    </row>
    <row r="12" ht="21" customHeight="1" s="9">
      <c r="B12" s="4" t="inlineStr">
        <is>
          <t>○</t>
        </is>
      </c>
      <c r="C12" s="7">
        <f>COUNTIF(C$3:C$7,$B12)</f>
        <v/>
      </c>
      <c r="D12" s="7">
        <f>COUNTIF(D$3:D$7,$B12)</f>
        <v/>
      </c>
      <c r="F12" s="7">
        <f>COUNTIF(F$3:F$7,$B12)</f>
        <v/>
      </c>
      <c r="H12" s="7">
        <f>COUNTIF(H$3:H$7,$B12)</f>
        <v/>
      </c>
    </row>
    <row r="13" ht="21" customHeight="1" s="9">
      <c r="B13" s="4" t="inlineStr">
        <is>
          <t>◎</t>
        </is>
      </c>
      <c r="C13" s="7">
        <f>COUNTIF(C$3:C$7,$B13)</f>
        <v/>
      </c>
      <c r="D13" s="7">
        <f>COUNTIF(D$3:D$7,$B13)</f>
        <v/>
      </c>
      <c r="F13" s="7">
        <f>COUNTIF(F$3:F$7,$B13)</f>
        <v/>
      </c>
      <c r="H13" s="7">
        <f>COUNTIF(H$3:H$7,$B13)</f>
        <v/>
      </c>
    </row>
  </sheetData>
  <mergeCells count="10">
    <mergeCell ref="F2:G2"/>
    <mergeCell ref="H2:I2"/>
    <mergeCell ref="D2:E2"/>
    <mergeCell ref="D1:E1"/>
    <mergeCell ref="H1:I1"/>
    <mergeCell ref="C1:C2"/>
    <mergeCell ref="B1:B2"/>
    <mergeCell ref="C10:I10"/>
    <mergeCell ref="F1:G1"/>
    <mergeCell ref="A1:A2"/>
  </mergeCells>
  <dataValidations count="1">
    <dataValidation sqref="C3:C100 D3:D100 F3:F100 H3:H100" showDropDown="0" showInputMessage="0" showErrorMessage="0" allowBlank="1" type="list">
      <formula1>SymbolList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3" sqref="A3"/>
    </sheetView>
  </sheetViews>
  <sheetFormatPr baseColWidth="10" defaultColWidth="8.83203125" defaultRowHeight="15"/>
  <cols>
    <col width="10" customWidth="1" style="9" min="1" max="2"/>
    <col width="14" customWidth="1" style="9" min="3" max="3"/>
  </cols>
  <sheetData>
    <row r="1">
      <c r="A1" s="10" t="inlineStr">
        <is>
          <t>Symbol</t>
        </is>
      </c>
      <c r="B1" s="10" t="inlineStr">
        <is>
          <t>Value</t>
        </is>
      </c>
      <c r="C1" s="10" t="inlineStr">
        <is>
          <t>Label</t>
        </is>
      </c>
    </row>
    <row r="2" ht="21" customHeight="1" s="9">
      <c r="A2" s="4" t="inlineStr">
        <is>
          <t>◎</t>
        </is>
      </c>
      <c r="B2" s="7" t="n">
        <v>9</v>
      </c>
      <c r="C2" s="7" t="inlineStr">
        <is>
          <t>Strong</t>
        </is>
      </c>
    </row>
    <row r="3" ht="21" customHeight="1" s="9">
      <c r="A3" s="4" t="inlineStr">
        <is>
          <t>○</t>
        </is>
      </c>
      <c r="B3" s="7" t="n">
        <v>3</v>
      </c>
      <c r="C3" s="7" t="inlineStr">
        <is>
          <t>Medium</t>
        </is>
      </c>
    </row>
    <row r="4" ht="21" customHeight="1" s="9">
      <c r="A4" s="4" t="inlineStr">
        <is>
          <t>▽</t>
        </is>
      </c>
      <c r="B4" s="7" t="n">
        <v>1</v>
      </c>
      <c r="C4" s="7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2026-04-20T03:56:23Z</dcterms:created>
  <dcterms:modified xsi:type="dcterms:W3CDTF">2026-04-20T15:21:49Z</dcterms:modified>
  <cp:lastModifiedBy>Gary Rudolph</cp:lastModifiedBy>
</cp:coreProperties>
</file>